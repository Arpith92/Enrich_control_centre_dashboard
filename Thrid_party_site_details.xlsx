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930"/>
  </bookViews>
  <sheets>
    <sheet name="sites" sheetId="7" r:id="rId1"/>
    <sheet name="Common Infra" sheetId="8" r:id="rId2"/>
  </sheets>
  <definedNames>
    <definedName name="_xlnm._FilterDatabase" localSheetId="0" hidden="1">sites!$A$2:$H$86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7" l="1"/>
  <c r="F79" i="7" l="1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41" i="7" l="1"/>
  <c r="F31" i="7"/>
  <c r="F40" i="7"/>
  <c r="F30" i="7"/>
  <c r="F25" i="7"/>
  <c r="F35" i="7"/>
  <c r="F22" i="7"/>
  <c r="F29" i="7"/>
  <c r="F28" i="7"/>
  <c r="F18" i="7"/>
  <c r="F27" i="7"/>
  <c r="F24" i="7"/>
  <c r="F39" i="7"/>
  <c r="F21" i="7"/>
  <c r="F23" i="7"/>
  <c r="F38" i="7"/>
  <c r="F36" i="7"/>
  <c r="F33" i="7"/>
  <c r="F37" i="7"/>
  <c r="F26" i="7"/>
  <c r="F20" i="7"/>
  <c r="F34" i="7"/>
  <c r="F15" i="7"/>
  <c r="F19" i="7"/>
  <c r="F12" i="7"/>
  <c r="F17" i="7"/>
  <c r="F16" i="7"/>
  <c r="F14" i="7"/>
  <c r="F13" i="7"/>
  <c r="F32" i="7"/>
  <c r="F10" i="7"/>
  <c r="F9" i="7"/>
  <c r="F11" i="7"/>
  <c r="F6" i="7"/>
  <c r="F8" i="7"/>
  <c r="F7" i="7"/>
  <c r="F4" i="7"/>
  <c r="F3" i="7"/>
  <c r="F5" i="7"/>
  <c r="F1" i="7" l="1"/>
</calcChain>
</file>

<file path=xl/sharedStrings.xml><?xml version="1.0" encoding="utf-8"?>
<sst xmlns="http://schemas.openxmlformats.org/spreadsheetml/2006/main" count="341" uniqueCount="181">
  <si>
    <t>Sr. No.</t>
  </si>
  <si>
    <t>Naigaon</t>
  </si>
  <si>
    <t>Nanashi</t>
  </si>
  <si>
    <t>Samangoan</t>
  </si>
  <si>
    <t>Mungsare</t>
  </si>
  <si>
    <t>Talwade</t>
  </si>
  <si>
    <t>Shirur</t>
  </si>
  <si>
    <t>Khadkozar</t>
  </si>
  <si>
    <t>Bhendi</t>
  </si>
  <si>
    <t>Sakur</t>
  </si>
  <si>
    <t>Virgaon</t>
  </si>
  <si>
    <t>Virane</t>
  </si>
  <si>
    <t>Undirwadi</t>
  </si>
  <si>
    <t>Padhali</t>
  </si>
  <si>
    <t>Pimple</t>
  </si>
  <si>
    <t>Savkarwadi</t>
  </si>
  <si>
    <t>Mohadi</t>
  </si>
  <si>
    <t>Zadi</t>
  </si>
  <si>
    <t>Tandulwadi</t>
  </si>
  <si>
    <t>Lahvit</t>
  </si>
  <si>
    <t>Mohegaon</t>
  </si>
  <si>
    <t xml:space="preserve">Askheda </t>
  </si>
  <si>
    <t>Sonwewadi</t>
  </si>
  <si>
    <t xml:space="preserve">Devergaon </t>
  </si>
  <si>
    <t>Site Name</t>
  </si>
  <si>
    <t>Nimbola</t>
  </si>
  <si>
    <t>Khamtane</t>
  </si>
  <si>
    <t>Deshwandi</t>
  </si>
  <si>
    <t>Satwaichiwadi</t>
  </si>
  <si>
    <t>Dongargaon</t>
  </si>
  <si>
    <t>Kikwari</t>
  </si>
  <si>
    <t>Mahalpatne</t>
  </si>
  <si>
    <t>Ajang</t>
  </si>
  <si>
    <t>Deshwandi (Wadzare)</t>
  </si>
  <si>
    <t xml:space="preserve">Deopur </t>
  </si>
  <si>
    <t xml:space="preserve">Chondi </t>
  </si>
  <si>
    <t>Dubere</t>
  </si>
  <si>
    <t xml:space="preserve">Khakurdi </t>
  </si>
  <si>
    <t xml:space="preserve">Dahyane </t>
  </si>
  <si>
    <t>Kazi Sanghvi</t>
  </si>
  <si>
    <t>Cluster Name</t>
  </si>
  <si>
    <t>Nashik</t>
  </si>
  <si>
    <t>Chandwad</t>
  </si>
  <si>
    <t>Baglan</t>
  </si>
  <si>
    <t>AC Capacity (MW)</t>
  </si>
  <si>
    <t>DC Capacity (MWp)</t>
  </si>
  <si>
    <t>Lat</t>
  </si>
  <si>
    <t>Long</t>
  </si>
  <si>
    <t>Nandur Kh</t>
  </si>
  <si>
    <t>Sawargaon</t>
  </si>
  <si>
    <t>Khaprale</t>
  </si>
  <si>
    <t>Nandgaon BK 2</t>
  </si>
  <si>
    <t>Nandgaon BK1</t>
  </si>
  <si>
    <t>Navi Nirpur</t>
  </si>
  <si>
    <t>Jalgaon BK</t>
  </si>
  <si>
    <t>Lohner</t>
  </si>
  <si>
    <t>Kinwat</t>
  </si>
  <si>
    <t>Kannad</t>
  </si>
  <si>
    <t>Mantha</t>
  </si>
  <si>
    <t>Wadwani</t>
  </si>
  <si>
    <t>Parner</t>
  </si>
  <si>
    <t>Mohol</t>
  </si>
  <si>
    <t>Jawla</t>
  </si>
  <si>
    <t>Customer Name</t>
  </si>
  <si>
    <t>Atnu Solar</t>
  </si>
  <si>
    <t>LIMBARUI</t>
  </si>
  <si>
    <t>RUIGAVHAN</t>
  </si>
  <si>
    <t>KAMKHEDA</t>
  </si>
  <si>
    <t>WADVANI</t>
  </si>
  <si>
    <t>KAKADHIRA</t>
  </si>
  <si>
    <t>DEVLA BK.</t>
  </si>
  <si>
    <t>KEKAT PANGRI</t>
  </si>
  <si>
    <t>RAKSHASABHUWAN</t>
  </si>
  <si>
    <t>GULAJ</t>
  </si>
  <si>
    <t>MIRGAON</t>
  </si>
  <si>
    <t>BELGAON</t>
  </si>
  <si>
    <t>SURDI BK.</t>
  </si>
  <si>
    <t>CHAKLAMBA</t>
  </si>
  <si>
    <t>MAHINDA</t>
  </si>
  <si>
    <t>POKHARI</t>
  </si>
  <si>
    <t>HARINRAYAN</t>
  </si>
  <si>
    <t>MHASOBACHIWADI</t>
  </si>
  <si>
    <t>DAULAWADGAON</t>
  </si>
  <si>
    <t>TAKALI AMAYA</t>
  </si>
  <si>
    <t>PATTIWADGAON</t>
  </si>
  <si>
    <t>LAMAN TANDA</t>
  </si>
  <si>
    <t>ASARDHAV</t>
  </si>
  <si>
    <t>NATHRA</t>
  </si>
  <si>
    <t>SARADGAON</t>
  </si>
  <si>
    <t>19.004785</t>
  </si>
  <si>
    <t>75.679079</t>
  </si>
  <si>
    <t>18.6804298</t>
  </si>
  <si>
    <t>75.6578815</t>
  </si>
  <si>
    <t>19.082094</t>
  </si>
  <si>
    <t>75.705406</t>
  </si>
  <si>
    <t xml:space="preserve">18.9984945  </t>
  </si>
  <si>
    <t>76.0012898</t>
  </si>
  <si>
    <t>18.953309</t>
  </si>
  <si>
    <t>75.584398</t>
  </si>
  <si>
    <t>18.947807</t>
  </si>
  <si>
    <t>75.953622</t>
  </si>
  <si>
    <t>19.2786</t>
  </si>
  <si>
    <t>75.820063</t>
  </si>
  <si>
    <t>19.37771</t>
  </si>
  <si>
    <t>75.6362</t>
  </si>
  <si>
    <t>19.366559</t>
  </si>
  <si>
    <t>75.564548</t>
  </si>
  <si>
    <t>19.353177</t>
  </si>
  <si>
    <t>75.826482</t>
  </si>
  <si>
    <t>19.31342</t>
  </si>
  <si>
    <t>75.714212</t>
  </si>
  <si>
    <t>19.2659719</t>
  </si>
  <si>
    <t>75.748256</t>
  </si>
  <si>
    <t>19.2597214</t>
  </si>
  <si>
    <t>75.504922</t>
  </si>
  <si>
    <t>19.089807</t>
  </si>
  <si>
    <t>75.207476</t>
  </si>
  <si>
    <t>18.7389251</t>
  </si>
  <si>
    <t>75.2940222</t>
  </si>
  <si>
    <t>19.008483</t>
  </si>
  <si>
    <t>75.040202</t>
  </si>
  <si>
    <t>19.046101</t>
  </si>
  <si>
    <t>74.955608</t>
  </si>
  <si>
    <t>18.854967</t>
  </si>
  <si>
    <t>75.0631223</t>
  </si>
  <si>
    <t>18.7085686</t>
  </si>
  <si>
    <t>76.6829592</t>
  </si>
  <si>
    <t>18.7384538</t>
  </si>
  <si>
    <t>76.3892307</t>
  </si>
  <si>
    <t>18.845862</t>
  </si>
  <si>
    <t>76.259675</t>
  </si>
  <si>
    <t>18.9575265</t>
  </si>
  <si>
    <t>76.4756482</t>
  </si>
  <si>
    <t>18.83687</t>
  </si>
  <si>
    <t>76.6111245</t>
  </si>
  <si>
    <t>BHEED</t>
  </si>
  <si>
    <t>ASHTI</t>
  </si>
  <si>
    <t xml:space="preserve">Ambejogai </t>
  </si>
  <si>
    <t>Torrent Power</t>
  </si>
  <si>
    <t>Reliance Power</t>
  </si>
  <si>
    <t>Aurad</t>
  </si>
  <si>
    <t>Chittapur</t>
  </si>
  <si>
    <t>Chamrajnagar</t>
  </si>
  <si>
    <t>Gundlupete</t>
  </si>
  <si>
    <t>Hero Future</t>
  </si>
  <si>
    <t>JSW Renewable Energy</t>
  </si>
  <si>
    <t>Khavda</t>
  </si>
  <si>
    <t>Regency ISPAT Private Limited</t>
  </si>
  <si>
    <t>Kumbhari</t>
  </si>
  <si>
    <t>Reliance Power Balance</t>
  </si>
  <si>
    <t>Location No.</t>
  </si>
  <si>
    <t>Site</t>
  </si>
  <si>
    <t>Commissioning Date</t>
  </si>
  <si>
    <t>Contract Status</t>
  </si>
  <si>
    <t>AMP Solar Power System Pvt. Ltd.</t>
  </si>
  <si>
    <t>Tuljapur</t>
  </si>
  <si>
    <t>Common Infra - Signed</t>
  </si>
  <si>
    <t>AMP Energy Green 12 Pvt. Ltd.</t>
  </si>
  <si>
    <t>AMP Energy Green 15 Pvt. Ltd.</t>
  </si>
  <si>
    <t>AMP Energy Green 11 Pvt. Ltd.</t>
  </si>
  <si>
    <t>AMP Energy C&amp;I 1 Pvt. Ltd.</t>
  </si>
  <si>
    <t>Agrawal Minerals (Goa) Pvt. Ltd.</t>
  </si>
  <si>
    <t>PVSP 10</t>
  </si>
  <si>
    <t>Mandrup</t>
  </si>
  <si>
    <t>Common Infra - Signed/Internal Approval Note</t>
  </si>
  <si>
    <t>Saidpur Jute Co. Ltd.</t>
  </si>
  <si>
    <t>PVSP 19</t>
  </si>
  <si>
    <t>Gangadhar Nasingdas Agrawal</t>
  </si>
  <si>
    <t>PVSP 20</t>
  </si>
  <si>
    <t>Power Genesis Pvt. Ltd.</t>
  </si>
  <si>
    <t>PVSP 26</t>
  </si>
  <si>
    <t>Capacity (MW - AC)</t>
  </si>
  <si>
    <t>Capacity (MWp - DC)</t>
  </si>
  <si>
    <t>AMP</t>
  </si>
  <si>
    <t>Ravindra Energy Limited</t>
  </si>
  <si>
    <t>Akadabalapur</t>
  </si>
  <si>
    <t>Arai</t>
  </si>
  <si>
    <t>Common Infra</t>
  </si>
  <si>
    <t>My data (thirdparty+installed)</t>
  </si>
  <si>
    <t>Total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</si>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</sst>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3" xfId="0" applyFill="1" applyBorder="1" applyAlignment="1">
      <alignment horizontal="center" vertical="center"/>
    </xf>
  </cellXfs>
  <cellStyles count="4">
    <cellStyle name="Normal" xfId="0" builtinId="0"/>
    <cellStyle name="Normal 2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abSelected="1" workbookViewId="0">
      <pane xSplit="6" ySplit="2" topLeftCell="G72" activePane="bottomRight" state="frozen"/>
      <selection pane="topRight" activeCell="F1" sqref="F1"/>
      <selection pane="bottomLeft" activeCell="A2" sqref="A2"/>
      <selection pane="bottomRight" activeCell="J75" sqref="J75"/>
    </sheetView>
  </sheetViews>
  <sheetFormatPr defaultColWidth="26.54296875" defaultRowHeight="14.5" x14ac:dyDescent="0.35"/>
  <cols>
    <col min="1" max="1" width="6.36328125" bestFit="1" customWidth="1"/>
    <col min="2" max="2" width="26.54296875" bestFit="1" customWidth="1"/>
    <col min="3" max="3" width="19.453125" bestFit="1" customWidth="1"/>
    <col min="4" max="4" width="12.08984375" hidden="1" customWidth="1"/>
    <col min="5" max="5" width="16" bestFit="1" customWidth="1"/>
    <col min="6" max="6" width="17.26953125" bestFit="1" customWidth="1"/>
    <col min="7" max="8" width="11.81640625" bestFit="1" customWidth="1"/>
    <col min="9" max="9" width="26.08984375" bestFit="1" customWidth="1"/>
  </cols>
  <sheetData>
    <row r="1" spans="1:8" x14ac:dyDescent="0.35">
      <c r="E1">
        <f>SUBTOTAL(9,E2:E89)</f>
        <v>843.03000000000009</v>
      </c>
      <c r="F1">
        <f>SUBTOTAL(9,F2:F89)</f>
        <v>1127.249</v>
      </c>
    </row>
    <row r="2" spans="1:8" x14ac:dyDescent="0.35">
      <c r="A2" s="1" t="s">
        <v>0</v>
      </c>
      <c r="B2" s="1" t="s">
        <v>63</v>
      </c>
      <c r="C2" s="1" t="s">
        <v>24</v>
      </c>
      <c r="D2" s="1" t="s">
        <v>40</v>
      </c>
      <c r="E2" s="1" t="s">
        <v>44</v>
      </c>
      <c r="F2" s="1" t="s">
        <v>45</v>
      </c>
      <c r="G2" s="1" t="s">
        <v>46</v>
      </c>
      <c r="H2" s="1" t="s">
        <v>47</v>
      </c>
    </row>
    <row r="3" spans="1:8" x14ac:dyDescent="0.35">
      <c r="A3" s="2">
        <v>1</v>
      </c>
      <c r="B3" s="2" t="s">
        <v>138</v>
      </c>
      <c r="C3" s="3" t="s">
        <v>27</v>
      </c>
      <c r="D3" s="3" t="s">
        <v>41</v>
      </c>
      <c r="E3" s="4">
        <v>10</v>
      </c>
      <c r="F3" s="2">
        <f t="shared" ref="F3:F41" si="0">E3*1.2</f>
        <v>12</v>
      </c>
      <c r="G3" s="2">
        <v>19.919125300000001</v>
      </c>
      <c r="H3" s="2">
        <v>73.992738299999999</v>
      </c>
    </row>
    <row r="4" spans="1:8" x14ac:dyDescent="0.35">
      <c r="A4" s="2">
        <v>2</v>
      </c>
      <c r="B4" s="2" t="s">
        <v>138</v>
      </c>
      <c r="C4" s="3" t="s">
        <v>33</v>
      </c>
      <c r="D4" s="3" t="s">
        <v>41</v>
      </c>
      <c r="E4" s="4">
        <v>4</v>
      </c>
      <c r="F4" s="2">
        <f t="shared" si="0"/>
        <v>4.8</v>
      </c>
      <c r="G4" s="2">
        <v>73.992498699999999</v>
      </c>
      <c r="H4" s="2">
        <v>73.992498699999999</v>
      </c>
    </row>
    <row r="5" spans="1:8" x14ac:dyDescent="0.35">
      <c r="A5" s="2">
        <v>3</v>
      </c>
      <c r="B5" s="2" t="s">
        <v>138</v>
      </c>
      <c r="C5" s="3" t="s">
        <v>1</v>
      </c>
      <c r="D5" s="3" t="s">
        <v>41</v>
      </c>
      <c r="E5" s="4">
        <v>5</v>
      </c>
      <c r="F5" s="2">
        <f t="shared" si="0"/>
        <v>6</v>
      </c>
      <c r="G5" s="2">
        <v>19.949995600000001</v>
      </c>
      <c r="H5" s="2">
        <v>73.981409499999998</v>
      </c>
    </row>
    <row r="6" spans="1:8" x14ac:dyDescent="0.35">
      <c r="A6" s="2">
        <v>4</v>
      </c>
      <c r="B6" s="2" t="s">
        <v>138</v>
      </c>
      <c r="C6" s="3" t="s">
        <v>5</v>
      </c>
      <c r="D6" s="3" t="s">
        <v>41</v>
      </c>
      <c r="E6" s="4">
        <v>5</v>
      </c>
      <c r="F6" s="2">
        <f t="shared" si="0"/>
        <v>6</v>
      </c>
      <c r="G6" s="2">
        <v>19.936111499999999</v>
      </c>
      <c r="H6" s="2">
        <v>74.046041299999999</v>
      </c>
    </row>
    <row r="7" spans="1:8" x14ac:dyDescent="0.35">
      <c r="A7" s="2">
        <v>5</v>
      </c>
      <c r="B7" s="2" t="s">
        <v>138</v>
      </c>
      <c r="C7" s="3" t="s">
        <v>34</v>
      </c>
      <c r="D7" s="3" t="s">
        <v>41</v>
      </c>
      <c r="E7" s="4">
        <v>10</v>
      </c>
      <c r="F7" s="2">
        <f t="shared" si="0"/>
        <v>12</v>
      </c>
      <c r="G7" s="2">
        <v>19.871400000000001</v>
      </c>
      <c r="H7" s="2">
        <v>74.133441000000005</v>
      </c>
    </row>
    <row r="8" spans="1:8" x14ac:dyDescent="0.35">
      <c r="A8" s="2">
        <v>6</v>
      </c>
      <c r="B8" s="2" t="s">
        <v>138</v>
      </c>
      <c r="C8" s="3" t="s">
        <v>35</v>
      </c>
      <c r="D8" s="3" t="s">
        <v>41</v>
      </c>
      <c r="E8" s="4">
        <v>9</v>
      </c>
      <c r="F8" s="2">
        <f t="shared" si="0"/>
        <v>10.799999999999999</v>
      </c>
      <c r="G8" s="2">
        <v>19.943139800000001</v>
      </c>
      <c r="H8" s="2">
        <v>74.189499699999999</v>
      </c>
    </row>
    <row r="9" spans="1:8" x14ac:dyDescent="0.35">
      <c r="A9" s="2">
        <v>7</v>
      </c>
      <c r="B9" s="2" t="s">
        <v>138</v>
      </c>
      <c r="C9" s="3" t="s">
        <v>4</v>
      </c>
      <c r="D9" s="3" t="s">
        <v>41</v>
      </c>
      <c r="E9" s="4">
        <v>4</v>
      </c>
      <c r="F9" s="2">
        <f t="shared" si="0"/>
        <v>4.8</v>
      </c>
      <c r="G9" s="2">
        <v>20.008131299999999</v>
      </c>
      <c r="H9" s="2">
        <v>73.715237500000001</v>
      </c>
    </row>
    <row r="10" spans="1:8" x14ac:dyDescent="0.35">
      <c r="A10" s="2">
        <v>8</v>
      </c>
      <c r="B10" s="2" t="s">
        <v>138</v>
      </c>
      <c r="C10" s="3" t="s">
        <v>2</v>
      </c>
      <c r="D10" s="3" t="s">
        <v>41</v>
      </c>
      <c r="E10" s="4">
        <v>5</v>
      </c>
      <c r="F10" s="2">
        <f t="shared" si="0"/>
        <v>6</v>
      </c>
      <c r="G10" s="2">
        <v>20.336051699999999</v>
      </c>
      <c r="H10" s="2">
        <v>73.640145000000004</v>
      </c>
    </row>
    <row r="11" spans="1:8" x14ac:dyDescent="0.35">
      <c r="A11" s="2">
        <v>9</v>
      </c>
      <c r="B11" s="2" t="s">
        <v>138</v>
      </c>
      <c r="C11" s="3" t="s">
        <v>3</v>
      </c>
      <c r="D11" s="3" t="s">
        <v>41</v>
      </c>
      <c r="E11" s="4">
        <v>7</v>
      </c>
      <c r="F11" s="2">
        <f t="shared" si="0"/>
        <v>8.4</v>
      </c>
      <c r="G11" s="2">
        <v>19.9752926</v>
      </c>
      <c r="H11" s="2">
        <v>73.878108800000007</v>
      </c>
    </row>
    <row r="12" spans="1:8" x14ac:dyDescent="0.35">
      <c r="A12" s="2">
        <v>10</v>
      </c>
      <c r="B12" s="2" t="s">
        <v>138</v>
      </c>
      <c r="C12" s="3" t="s">
        <v>19</v>
      </c>
      <c r="D12" s="3" t="s">
        <v>41</v>
      </c>
      <c r="E12" s="4">
        <v>4</v>
      </c>
      <c r="F12" s="2">
        <f t="shared" si="0"/>
        <v>4.8</v>
      </c>
      <c r="G12" s="2">
        <v>19.827056299999999</v>
      </c>
      <c r="H12" s="2">
        <v>73.811684900000003</v>
      </c>
    </row>
    <row r="13" spans="1:8" x14ac:dyDescent="0.35">
      <c r="A13" s="2">
        <v>11</v>
      </c>
      <c r="B13" s="2" t="s">
        <v>138</v>
      </c>
      <c r="C13" s="3" t="s">
        <v>13</v>
      </c>
      <c r="D13" s="3" t="s">
        <v>41</v>
      </c>
      <c r="E13" s="4">
        <v>4</v>
      </c>
      <c r="F13" s="2">
        <f t="shared" si="0"/>
        <v>4.8</v>
      </c>
      <c r="G13" s="2">
        <v>19.7022567</v>
      </c>
      <c r="H13" s="2">
        <v>74.003625</v>
      </c>
    </row>
    <row r="14" spans="1:8" x14ac:dyDescent="0.35">
      <c r="A14" s="2">
        <v>12</v>
      </c>
      <c r="B14" s="2" t="s">
        <v>138</v>
      </c>
      <c r="C14" s="3" t="s">
        <v>14</v>
      </c>
      <c r="D14" s="3" t="s">
        <v>41</v>
      </c>
      <c r="E14" s="4">
        <v>4</v>
      </c>
      <c r="F14" s="2">
        <f t="shared" si="0"/>
        <v>4.8</v>
      </c>
      <c r="G14" s="2">
        <v>19.706916400000001</v>
      </c>
      <c r="H14" s="2">
        <v>74.004801</v>
      </c>
    </row>
    <row r="15" spans="1:8" x14ac:dyDescent="0.35">
      <c r="A15" s="2">
        <v>13</v>
      </c>
      <c r="B15" s="2" t="s">
        <v>138</v>
      </c>
      <c r="C15" s="3" t="s">
        <v>22</v>
      </c>
      <c r="D15" s="3" t="s">
        <v>41</v>
      </c>
      <c r="E15" s="4">
        <v>3</v>
      </c>
      <c r="F15" s="2">
        <f t="shared" si="0"/>
        <v>3.5999999999999996</v>
      </c>
      <c r="G15" s="2">
        <v>19.6652968</v>
      </c>
      <c r="H15" s="2">
        <v>74.099953799999994</v>
      </c>
    </row>
    <row r="16" spans="1:8" x14ac:dyDescent="0.35">
      <c r="A16" s="2">
        <v>14</v>
      </c>
      <c r="B16" s="2" t="s">
        <v>138</v>
      </c>
      <c r="C16" s="3" t="s">
        <v>36</v>
      </c>
      <c r="D16" s="3" t="s">
        <v>41</v>
      </c>
      <c r="E16" s="4">
        <v>7</v>
      </c>
      <c r="F16" s="2">
        <f t="shared" si="0"/>
        <v>8.4</v>
      </c>
      <c r="G16" s="2">
        <v>19.794302500000001</v>
      </c>
      <c r="H16" s="2">
        <v>73.969926999999998</v>
      </c>
    </row>
    <row r="17" spans="1:8" x14ac:dyDescent="0.35">
      <c r="A17" s="2">
        <v>15</v>
      </c>
      <c r="B17" s="2" t="s">
        <v>138</v>
      </c>
      <c r="C17" s="3" t="s">
        <v>16</v>
      </c>
      <c r="D17" s="3" t="s">
        <v>41</v>
      </c>
      <c r="E17" s="4">
        <v>2</v>
      </c>
      <c r="F17" s="2">
        <f t="shared" si="0"/>
        <v>2.4</v>
      </c>
      <c r="G17" s="2">
        <v>20.1456549</v>
      </c>
      <c r="H17" s="2">
        <v>73.862871499999997</v>
      </c>
    </row>
    <row r="18" spans="1:8" x14ac:dyDescent="0.35">
      <c r="A18" s="2">
        <v>16</v>
      </c>
      <c r="B18" s="2" t="s">
        <v>138</v>
      </c>
      <c r="C18" s="3" t="s">
        <v>9</v>
      </c>
      <c r="D18" s="3" t="s">
        <v>43</v>
      </c>
      <c r="E18" s="4">
        <v>2</v>
      </c>
      <c r="F18" s="2">
        <f t="shared" si="0"/>
        <v>2.4</v>
      </c>
      <c r="G18" s="2">
        <v>19.7558784</v>
      </c>
      <c r="H18" s="2">
        <v>73.757354300000003</v>
      </c>
    </row>
    <row r="19" spans="1:8" x14ac:dyDescent="0.35">
      <c r="A19" s="2">
        <v>17</v>
      </c>
      <c r="B19" s="2" t="s">
        <v>138</v>
      </c>
      <c r="C19" s="3" t="s">
        <v>52</v>
      </c>
      <c r="D19" s="3" t="s">
        <v>41</v>
      </c>
      <c r="E19" s="4">
        <v>5</v>
      </c>
      <c r="F19" s="2">
        <f t="shared" si="0"/>
        <v>6</v>
      </c>
      <c r="G19" s="2">
        <v>19.8026032</v>
      </c>
      <c r="H19" s="2">
        <v>73.708442199999993</v>
      </c>
    </row>
    <row r="20" spans="1:8" x14ac:dyDescent="0.35">
      <c r="A20" s="2">
        <v>18</v>
      </c>
      <c r="B20" s="2" t="s">
        <v>138</v>
      </c>
      <c r="C20" s="3" t="s">
        <v>37</v>
      </c>
      <c r="D20" s="3" t="s">
        <v>43</v>
      </c>
      <c r="E20" s="4">
        <v>14</v>
      </c>
      <c r="F20" s="2">
        <f t="shared" si="0"/>
        <v>16.8</v>
      </c>
      <c r="G20" s="2">
        <v>20.709686980000001</v>
      </c>
      <c r="H20" s="2">
        <v>74.421146460000003</v>
      </c>
    </row>
    <row r="21" spans="1:8" x14ac:dyDescent="0.35">
      <c r="A21" s="2">
        <v>19</v>
      </c>
      <c r="B21" s="2" t="s">
        <v>138</v>
      </c>
      <c r="C21" s="3" t="s">
        <v>11</v>
      </c>
      <c r="D21" s="3" t="s">
        <v>43</v>
      </c>
      <c r="E21" s="4">
        <v>3</v>
      </c>
      <c r="F21" s="2">
        <f t="shared" si="0"/>
        <v>3.5999999999999996</v>
      </c>
      <c r="G21" s="2">
        <v>20.741904359999999</v>
      </c>
      <c r="H21" s="2">
        <v>74.454275170000003</v>
      </c>
    </row>
    <row r="22" spans="1:8" x14ac:dyDescent="0.35">
      <c r="A22" s="2">
        <v>20</v>
      </c>
      <c r="B22" s="2" t="s">
        <v>138</v>
      </c>
      <c r="C22" s="3" t="s">
        <v>32</v>
      </c>
      <c r="D22" s="3" t="s">
        <v>43</v>
      </c>
      <c r="E22" s="4">
        <v>8</v>
      </c>
      <c r="F22" s="2">
        <f t="shared" si="0"/>
        <v>9.6</v>
      </c>
      <c r="G22" s="2">
        <v>20.709686980000001</v>
      </c>
      <c r="H22" s="2">
        <v>74.421146460000003</v>
      </c>
    </row>
    <row r="23" spans="1:8" x14ac:dyDescent="0.35">
      <c r="A23" s="2">
        <v>21</v>
      </c>
      <c r="B23" s="2" t="s">
        <v>138</v>
      </c>
      <c r="C23" s="3" t="s">
        <v>26</v>
      </c>
      <c r="D23" s="3" t="s">
        <v>43</v>
      </c>
      <c r="E23" s="4">
        <v>7</v>
      </c>
      <c r="F23" s="2">
        <f t="shared" si="0"/>
        <v>8.4</v>
      </c>
      <c r="G23" s="2">
        <v>20.60815118</v>
      </c>
      <c r="H23" s="2">
        <v>74.157348220000003</v>
      </c>
    </row>
    <row r="24" spans="1:8" x14ac:dyDescent="0.35">
      <c r="A24" s="2">
        <v>22</v>
      </c>
      <c r="B24" s="2" t="s">
        <v>138</v>
      </c>
      <c r="C24" s="3" t="s">
        <v>8</v>
      </c>
      <c r="D24" s="3" t="s">
        <v>43</v>
      </c>
      <c r="E24" s="4">
        <v>5</v>
      </c>
      <c r="F24" s="2">
        <f t="shared" si="0"/>
        <v>6</v>
      </c>
      <c r="G24" s="2">
        <v>20.495006450000002</v>
      </c>
      <c r="H24" s="2">
        <v>74.075474450000002</v>
      </c>
    </row>
    <row r="25" spans="1:8" x14ac:dyDescent="0.35">
      <c r="A25" s="2">
        <v>23</v>
      </c>
      <c r="B25" s="2" t="s">
        <v>138</v>
      </c>
      <c r="C25" s="3" t="s">
        <v>28</v>
      </c>
      <c r="D25" s="3" t="s">
        <v>43</v>
      </c>
      <c r="E25" s="4">
        <v>5</v>
      </c>
      <c r="F25" s="2">
        <f t="shared" si="0"/>
        <v>6</v>
      </c>
      <c r="G25" s="2">
        <v>20.492525270000002</v>
      </c>
      <c r="H25" s="2">
        <v>74.170638999999994</v>
      </c>
    </row>
    <row r="26" spans="1:8" x14ac:dyDescent="0.35">
      <c r="A26" s="2">
        <v>24</v>
      </c>
      <c r="B26" s="2" t="s">
        <v>138</v>
      </c>
      <c r="C26" s="3" t="s">
        <v>25</v>
      </c>
      <c r="D26" s="3" t="s">
        <v>43</v>
      </c>
      <c r="E26" s="4">
        <v>4</v>
      </c>
      <c r="F26" s="2">
        <f t="shared" si="0"/>
        <v>4.8</v>
      </c>
      <c r="G26" s="2">
        <v>20.525043</v>
      </c>
      <c r="H26" s="2">
        <v>74.342855999999998</v>
      </c>
    </row>
    <row r="27" spans="1:8" x14ac:dyDescent="0.35">
      <c r="A27" s="2">
        <v>25</v>
      </c>
      <c r="B27" s="2" t="s">
        <v>138</v>
      </c>
      <c r="C27" s="3" t="s">
        <v>31</v>
      </c>
      <c r="D27" s="3" t="s">
        <v>43</v>
      </c>
      <c r="E27" s="4">
        <v>7</v>
      </c>
      <c r="F27" s="2">
        <f t="shared" si="0"/>
        <v>8.4</v>
      </c>
      <c r="G27" s="2">
        <v>20.526149</v>
      </c>
      <c r="H27" s="2">
        <v>74.326875999999999</v>
      </c>
    </row>
    <row r="28" spans="1:8" x14ac:dyDescent="0.35">
      <c r="A28" s="2">
        <v>26</v>
      </c>
      <c r="B28" s="2" t="s">
        <v>138</v>
      </c>
      <c r="C28" s="3" t="s">
        <v>10</v>
      </c>
      <c r="D28" s="3" t="s">
        <v>43</v>
      </c>
      <c r="E28" s="4">
        <v>5</v>
      </c>
      <c r="F28" s="2">
        <f t="shared" si="0"/>
        <v>6</v>
      </c>
      <c r="G28" s="2">
        <v>20.6990839905807</v>
      </c>
      <c r="H28" s="2">
        <v>74.158881402795899</v>
      </c>
    </row>
    <row r="29" spans="1:8" x14ac:dyDescent="0.35">
      <c r="A29" s="2">
        <v>27</v>
      </c>
      <c r="B29" s="2" t="s">
        <v>138</v>
      </c>
      <c r="C29" s="3" t="s">
        <v>30</v>
      </c>
      <c r="D29" s="3" t="s">
        <v>43</v>
      </c>
      <c r="E29" s="4">
        <v>10</v>
      </c>
      <c r="F29" s="2">
        <f t="shared" si="0"/>
        <v>12</v>
      </c>
      <c r="G29" s="2">
        <v>20.683737000000001</v>
      </c>
      <c r="H29" s="2">
        <v>74.087322999999998</v>
      </c>
    </row>
    <row r="30" spans="1:8" x14ac:dyDescent="0.35">
      <c r="A30" s="2">
        <v>28</v>
      </c>
      <c r="B30" s="2" t="s">
        <v>138</v>
      </c>
      <c r="C30" s="3" t="s">
        <v>18</v>
      </c>
      <c r="D30" s="3" t="s">
        <v>43</v>
      </c>
      <c r="E30" s="4">
        <v>5</v>
      </c>
      <c r="F30" s="2">
        <f t="shared" si="0"/>
        <v>6</v>
      </c>
      <c r="G30" s="2">
        <v>20.802871</v>
      </c>
      <c r="H30" s="2">
        <v>74.249915999999999</v>
      </c>
    </row>
    <row r="31" spans="1:8" x14ac:dyDescent="0.35">
      <c r="A31" s="2">
        <v>29</v>
      </c>
      <c r="B31" s="2" t="s">
        <v>138</v>
      </c>
      <c r="C31" s="3" t="s">
        <v>21</v>
      </c>
      <c r="D31" s="3" t="s">
        <v>43</v>
      </c>
      <c r="E31" s="4">
        <v>5</v>
      </c>
      <c r="F31" s="2">
        <f t="shared" si="0"/>
        <v>6</v>
      </c>
      <c r="G31" s="2">
        <v>20.762691</v>
      </c>
      <c r="H31" s="2">
        <v>74.266228999999996</v>
      </c>
    </row>
    <row r="32" spans="1:8" x14ac:dyDescent="0.35">
      <c r="A32" s="2">
        <v>30</v>
      </c>
      <c r="B32" s="2" t="s">
        <v>138</v>
      </c>
      <c r="C32" s="3" t="s">
        <v>29</v>
      </c>
      <c r="D32" s="3" t="s">
        <v>42</v>
      </c>
      <c r="E32" s="4">
        <v>16</v>
      </c>
      <c r="F32" s="2">
        <f t="shared" si="0"/>
        <v>19.2</v>
      </c>
      <c r="G32" s="2">
        <v>20.090032999999998</v>
      </c>
      <c r="H32" s="2">
        <v>74.217382000000001</v>
      </c>
    </row>
    <row r="33" spans="1:8" x14ac:dyDescent="0.35">
      <c r="A33" s="2">
        <v>31</v>
      </c>
      <c r="B33" s="2" t="s">
        <v>138</v>
      </c>
      <c r="C33" s="3" t="s">
        <v>38</v>
      </c>
      <c r="D33" s="3" t="s">
        <v>42</v>
      </c>
      <c r="E33" s="4">
        <v>10</v>
      </c>
      <c r="F33" s="2">
        <f t="shared" si="0"/>
        <v>12</v>
      </c>
      <c r="G33" s="2">
        <v>20.324642000000001</v>
      </c>
      <c r="H33" s="2">
        <v>74.001112000000006</v>
      </c>
    </row>
    <row r="34" spans="1:8" x14ac:dyDescent="0.35">
      <c r="A34" s="2">
        <v>32</v>
      </c>
      <c r="B34" s="2" t="s">
        <v>138</v>
      </c>
      <c r="C34" s="3" t="s">
        <v>15</v>
      </c>
      <c r="D34" s="3" t="s">
        <v>42</v>
      </c>
      <c r="E34" s="4">
        <v>3</v>
      </c>
      <c r="F34" s="2">
        <f t="shared" si="0"/>
        <v>3.5999999999999996</v>
      </c>
      <c r="G34" s="2">
        <v>20.393813099999999</v>
      </c>
      <c r="H34" s="2">
        <v>74.4399224</v>
      </c>
    </row>
    <row r="35" spans="1:8" x14ac:dyDescent="0.35">
      <c r="A35" s="2">
        <v>33</v>
      </c>
      <c r="B35" s="2" t="s">
        <v>138</v>
      </c>
      <c r="C35" s="3" t="s">
        <v>17</v>
      </c>
      <c r="D35" s="3" t="s">
        <v>42</v>
      </c>
      <c r="E35" s="4">
        <v>2</v>
      </c>
      <c r="F35" s="2">
        <f t="shared" si="0"/>
        <v>2.4</v>
      </c>
      <c r="G35" s="2">
        <v>20.389437999999998</v>
      </c>
      <c r="H35" s="2">
        <v>74.424076999999997</v>
      </c>
    </row>
    <row r="36" spans="1:8" x14ac:dyDescent="0.35">
      <c r="A36" s="2">
        <v>34</v>
      </c>
      <c r="B36" s="2" t="s">
        <v>138</v>
      </c>
      <c r="C36" s="3" t="s">
        <v>39</v>
      </c>
      <c r="D36" s="3" t="s">
        <v>42</v>
      </c>
      <c r="E36" s="4">
        <v>11</v>
      </c>
      <c r="F36" s="2">
        <f t="shared" si="0"/>
        <v>13.2</v>
      </c>
      <c r="G36" s="2">
        <v>20.2514483</v>
      </c>
      <c r="H36" s="2">
        <v>74.273825000000002</v>
      </c>
    </row>
    <row r="37" spans="1:8" x14ac:dyDescent="0.35">
      <c r="A37" s="2">
        <v>35</v>
      </c>
      <c r="B37" s="2" t="s">
        <v>138</v>
      </c>
      <c r="C37" s="3" t="s">
        <v>6</v>
      </c>
      <c r="D37" s="3" t="s">
        <v>42</v>
      </c>
      <c r="E37" s="4">
        <v>5</v>
      </c>
      <c r="F37" s="2">
        <f t="shared" si="0"/>
        <v>6</v>
      </c>
      <c r="G37" s="2">
        <v>20.353278299999999</v>
      </c>
      <c r="H37" s="2">
        <v>74.162057700000005</v>
      </c>
    </row>
    <row r="38" spans="1:8" x14ac:dyDescent="0.35">
      <c r="A38" s="2">
        <v>36</v>
      </c>
      <c r="B38" s="2" t="s">
        <v>138</v>
      </c>
      <c r="C38" s="3" t="s">
        <v>7</v>
      </c>
      <c r="D38" s="3" t="s">
        <v>42</v>
      </c>
      <c r="E38" s="4">
        <v>5</v>
      </c>
      <c r="F38" s="2">
        <f t="shared" si="0"/>
        <v>6</v>
      </c>
      <c r="G38" s="2">
        <v>20.243833299999999</v>
      </c>
      <c r="H38" s="2">
        <v>74.130785900000006</v>
      </c>
    </row>
    <row r="39" spans="1:8" x14ac:dyDescent="0.35">
      <c r="A39" s="2">
        <v>37</v>
      </c>
      <c r="B39" s="2" t="s">
        <v>138</v>
      </c>
      <c r="C39" s="3" t="s">
        <v>12</v>
      </c>
      <c r="D39" s="3" t="s">
        <v>42</v>
      </c>
      <c r="E39" s="4">
        <v>2</v>
      </c>
      <c r="F39" s="2">
        <f t="shared" si="0"/>
        <v>2.4</v>
      </c>
      <c r="G39" s="2">
        <v>19.978240700000001</v>
      </c>
      <c r="H39" s="2">
        <v>74.527835400000001</v>
      </c>
    </row>
    <row r="40" spans="1:8" x14ac:dyDescent="0.35">
      <c r="A40" s="2">
        <v>38</v>
      </c>
      <c r="B40" s="2" t="s">
        <v>138</v>
      </c>
      <c r="C40" s="3" t="s">
        <v>20</v>
      </c>
      <c r="D40" s="3" t="s">
        <v>42</v>
      </c>
      <c r="E40" s="4">
        <v>4</v>
      </c>
      <c r="F40" s="2">
        <f t="shared" si="0"/>
        <v>4.8</v>
      </c>
      <c r="G40" s="2">
        <v>20.195004999999998</v>
      </c>
      <c r="H40" s="2">
        <v>74.530466000000004</v>
      </c>
    </row>
    <row r="41" spans="1:8" x14ac:dyDescent="0.35">
      <c r="A41" s="2">
        <v>39</v>
      </c>
      <c r="B41" s="2" t="s">
        <v>138</v>
      </c>
      <c r="C41" s="3" t="s">
        <v>23</v>
      </c>
      <c r="D41" s="3" t="s">
        <v>42</v>
      </c>
      <c r="E41" s="4">
        <v>2</v>
      </c>
      <c r="F41" s="2">
        <f t="shared" si="0"/>
        <v>2.4</v>
      </c>
      <c r="G41" s="2">
        <v>20.212823</v>
      </c>
      <c r="H41" s="2">
        <v>74.175189900000007</v>
      </c>
    </row>
    <row r="42" spans="1:8" x14ac:dyDescent="0.35">
      <c r="A42" s="2">
        <v>40</v>
      </c>
      <c r="B42" s="2" t="s">
        <v>138</v>
      </c>
      <c r="C42" s="3" t="s">
        <v>48</v>
      </c>
      <c r="D42" s="3" t="s">
        <v>41</v>
      </c>
      <c r="E42" s="5">
        <v>4</v>
      </c>
      <c r="F42" s="5">
        <v>4.8</v>
      </c>
      <c r="G42" s="2">
        <v>20.202639999999999</v>
      </c>
      <c r="H42" s="2">
        <v>74.130720999999994</v>
      </c>
    </row>
    <row r="43" spans="1:8" x14ac:dyDescent="0.35">
      <c r="A43" s="2">
        <v>41</v>
      </c>
      <c r="B43" s="2" t="s">
        <v>138</v>
      </c>
      <c r="C43" s="3" t="s">
        <v>49</v>
      </c>
      <c r="D43" s="3" t="s">
        <v>42</v>
      </c>
      <c r="E43" s="5">
        <v>4</v>
      </c>
      <c r="F43" s="5">
        <v>4.8</v>
      </c>
      <c r="G43" s="2">
        <v>20.207145000000001</v>
      </c>
      <c r="H43" s="2">
        <v>74.137200000000007</v>
      </c>
    </row>
    <row r="44" spans="1:8" x14ac:dyDescent="0.35">
      <c r="A44" s="2">
        <v>42</v>
      </c>
      <c r="B44" s="2" t="s">
        <v>138</v>
      </c>
      <c r="C44" s="3" t="s">
        <v>50</v>
      </c>
      <c r="D44" s="3" t="s">
        <v>41</v>
      </c>
      <c r="E44" s="5">
        <v>5</v>
      </c>
      <c r="F44" s="5">
        <v>6</v>
      </c>
      <c r="G44" s="2">
        <v>19.822212</v>
      </c>
      <c r="H44" s="2">
        <v>73.914816000000002</v>
      </c>
    </row>
    <row r="45" spans="1:8" x14ac:dyDescent="0.35">
      <c r="A45" s="2">
        <v>43</v>
      </c>
      <c r="B45" s="2" t="s">
        <v>138</v>
      </c>
      <c r="C45" s="3" t="s">
        <v>51</v>
      </c>
      <c r="D45" s="3" t="s">
        <v>41</v>
      </c>
      <c r="E45" s="5">
        <v>3</v>
      </c>
      <c r="F45" s="5">
        <v>3.6</v>
      </c>
      <c r="G45" s="2">
        <v>19.8026032</v>
      </c>
      <c r="H45" s="2">
        <v>73.708442199999993</v>
      </c>
    </row>
    <row r="46" spans="1:8" x14ac:dyDescent="0.35">
      <c r="A46" s="2">
        <v>44</v>
      </c>
      <c r="B46" s="2" t="s">
        <v>138</v>
      </c>
      <c r="C46" s="3" t="s">
        <v>53</v>
      </c>
      <c r="D46" s="3" t="s">
        <v>42</v>
      </c>
      <c r="E46" s="5">
        <v>5</v>
      </c>
      <c r="F46" s="5">
        <v>6</v>
      </c>
      <c r="G46" s="2">
        <v>20.614827999999999</v>
      </c>
      <c r="H46" s="2">
        <v>74.104285000000004</v>
      </c>
    </row>
    <row r="47" spans="1:8" x14ac:dyDescent="0.35">
      <c r="A47" s="2">
        <v>45</v>
      </c>
      <c r="B47" s="2" t="s">
        <v>138</v>
      </c>
      <c r="C47" s="3" t="s">
        <v>54</v>
      </c>
      <c r="D47" s="3" t="s">
        <v>42</v>
      </c>
      <c r="E47" s="5">
        <v>3</v>
      </c>
      <c r="F47" s="5">
        <v>3.6</v>
      </c>
      <c r="G47" s="2">
        <v>20.246127120000001</v>
      </c>
      <c r="H47" s="2">
        <v>74.747325709999998</v>
      </c>
    </row>
    <row r="48" spans="1:8" x14ac:dyDescent="0.35">
      <c r="A48" s="2">
        <v>46</v>
      </c>
      <c r="B48" s="2" t="s">
        <v>138</v>
      </c>
      <c r="C48" s="3" t="s">
        <v>55</v>
      </c>
      <c r="D48" s="3" t="s">
        <v>42</v>
      </c>
      <c r="E48" s="5">
        <v>12</v>
      </c>
      <c r="F48" s="5">
        <v>14.4</v>
      </c>
      <c r="G48" s="2">
        <v>20.528248000000001</v>
      </c>
      <c r="H48" s="2">
        <v>74.239136000000002</v>
      </c>
    </row>
    <row r="49" spans="1:8" x14ac:dyDescent="0.35">
      <c r="A49" s="2">
        <v>47</v>
      </c>
      <c r="B49" s="9" t="s">
        <v>64</v>
      </c>
      <c r="C49" s="3" t="s">
        <v>56</v>
      </c>
      <c r="D49" s="2"/>
      <c r="E49" s="4">
        <v>10</v>
      </c>
      <c r="F49" s="2">
        <v>14</v>
      </c>
      <c r="G49" s="6">
        <v>19.471184000000001</v>
      </c>
      <c r="H49" s="6">
        <v>78.218098999999995</v>
      </c>
    </row>
    <row r="50" spans="1:8" x14ac:dyDescent="0.35">
      <c r="A50" s="2">
        <v>48</v>
      </c>
      <c r="B50" s="9" t="s">
        <v>64</v>
      </c>
      <c r="C50" s="3" t="s">
        <v>57</v>
      </c>
      <c r="D50" s="2"/>
      <c r="E50" s="4">
        <v>10</v>
      </c>
      <c r="F50" s="2">
        <v>14</v>
      </c>
      <c r="G50" s="6">
        <v>20.434868000000002</v>
      </c>
      <c r="H50" s="6">
        <v>75.196061999999998</v>
      </c>
    </row>
    <row r="51" spans="1:8" x14ac:dyDescent="0.35">
      <c r="A51" s="2">
        <v>49</v>
      </c>
      <c r="B51" s="9" t="s">
        <v>64</v>
      </c>
      <c r="C51" s="3" t="s">
        <v>58</v>
      </c>
      <c r="D51" s="2"/>
      <c r="E51" s="4">
        <v>10</v>
      </c>
      <c r="F51" s="2">
        <v>14</v>
      </c>
      <c r="G51" s="2">
        <v>19.827705999999999</v>
      </c>
      <c r="H51" s="2">
        <v>76.404213999999996</v>
      </c>
    </row>
    <row r="52" spans="1:8" x14ac:dyDescent="0.35">
      <c r="A52" s="2">
        <v>50</v>
      </c>
      <c r="B52" s="9" t="s">
        <v>64</v>
      </c>
      <c r="C52" s="3" t="s">
        <v>59</v>
      </c>
      <c r="D52" s="2"/>
      <c r="E52" s="4">
        <v>10</v>
      </c>
      <c r="F52" s="2">
        <v>14</v>
      </c>
      <c r="G52" s="2">
        <v>19.002756000000002</v>
      </c>
      <c r="H52" s="2">
        <v>76.164447999999993</v>
      </c>
    </row>
    <row r="53" spans="1:8" x14ac:dyDescent="0.35">
      <c r="A53" s="2">
        <v>51</v>
      </c>
      <c r="B53" s="9" t="s">
        <v>64</v>
      </c>
      <c r="C53" s="3" t="s">
        <v>60</v>
      </c>
      <c r="D53" s="2"/>
      <c r="E53" s="4">
        <v>10</v>
      </c>
      <c r="F53" s="2">
        <v>14</v>
      </c>
      <c r="G53" s="2">
        <v>19.270447000000001</v>
      </c>
      <c r="H53" s="2">
        <v>74.389743999999993</v>
      </c>
    </row>
    <row r="54" spans="1:8" x14ac:dyDescent="0.35">
      <c r="A54" s="2">
        <v>52</v>
      </c>
      <c r="B54" s="9" t="s">
        <v>64</v>
      </c>
      <c r="C54" s="3" t="s">
        <v>61</v>
      </c>
      <c r="D54" s="2"/>
      <c r="E54" s="4">
        <v>10</v>
      </c>
      <c r="F54" s="2">
        <v>14</v>
      </c>
      <c r="G54" s="2">
        <v>17.937531</v>
      </c>
      <c r="H54" s="2">
        <v>75.668513000000004</v>
      </c>
    </row>
    <row r="55" spans="1:8" x14ac:dyDescent="0.35">
      <c r="A55" s="2">
        <v>53</v>
      </c>
      <c r="B55" s="9" t="s">
        <v>64</v>
      </c>
      <c r="C55" s="3" t="s">
        <v>62</v>
      </c>
      <c r="D55" s="2"/>
      <c r="E55" s="4">
        <v>10</v>
      </c>
      <c r="F55" s="2">
        <v>14</v>
      </c>
      <c r="G55" s="2">
        <v>18.577171</v>
      </c>
      <c r="H55" s="2">
        <v>75.278111999999993</v>
      </c>
    </row>
    <row r="56" spans="1:8" x14ac:dyDescent="0.35">
      <c r="A56" s="2">
        <v>54</v>
      </c>
      <c r="B56" s="9" t="s">
        <v>139</v>
      </c>
      <c r="C56" s="7" t="s">
        <v>65</v>
      </c>
      <c r="D56" s="8" t="s">
        <v>135</v>
      </c>
      <c r="E56" s="7">
        <v>2</v>
      </c>
      <c r="F56" s="7">
        <f t="shared" ref="F56:F79" si="1">E56*1.2</f>
        <v>2.4</v>
      </c>
      <c r="G56" s="7" t="s">
        <v>89</v>
      </c>
      <c r="H56" s="7" t="s">
        <v>90</v>
      </c>
    </row>
    <row r="57" spans="1:8" x14ac:dyDescent="0.35">
      <c r="A57" s="2">
        <v>55</v>
      </c>
      <c r="B57" s="9" t="s">
        <v>139</v>
      </c>
      <c r="C57" s="7" t="s">
        <v>66</v>
      </c>
      <c r="D57" s="8" t="s">
        <v>135</v>
      </c>
      <c r="E57" s="7">
        <v>3</v>
      </c>
      <c r="F57" s="7">
        <f t="shared" si="1"/>
        <v>3.5999999999999996</v>
      </c>
      <c r="G57" s="7" t="s">
        <v>91</v>
      </c>
      <c r="H57" s="7" t="s">
        <v>92</v>
      </c>
    </row>
    <row r="58" spans="1:8" x14ac:dyDescent="0.35">
      <c r="A58" s="2">
        <v>56</v>
      </c>
      <c r="B58" s="9" t="s">
        <v>139</v>
      </c>
      <c r="C58" s="7" t="s">
        <v>67</v>
      </c>
      <c r="D58" s="8" t="s">
        <v>135</v>
      </c>
      <c r="E58" s="7">
        <v>5</v>
      </c>
      <c r="F58" s="7">
        <f t="shared" si="1"/>
        <v>6</v>
      </c>
      <c r="G58" s="7" t="s">
        <v>93</v>
      </c>
      <c r="H58" s="7" t="s">
        <v>94</v>
      </c>
    </row>
    <row r="59" spans="1:8" x14ac:dyDescent="0.35">
      <c r="A59" s="2">
        <v>57</v>
      </c>
      <c r="B59" s="9" t="s">
        <v>139</v>
      </c>
      <c r="C59" s="7" t="s">
        <v>68</v>
      </c>
      <c r="D59" s="8" t="s">
        <v>135</v>
      </c>
      <c r="E59" s="7">
        <v>5</v>
      </c>
      <c r="F59" s="7">
        <f t="shared" si="1"/>
        <v>6</v>
      </c>
      <c r="G59" s="7" t="s">
        <v>95</v>
      </c>
      <c r="H59" s="7" t="s">
        <v>96</v>
      </c>
    </row>
    <row r="60" spans="1:8" x14ac:dyDescent="0.35">
      <c r="A60" s="2">
        <v>58</v>
      </c>
      <c r="B60" s="9" t="s">
        <v>139</v>
      </c>
      <c r="C60" s="7" t="s">
        <v>69</v>
      </c>
      <c r="D60" s="8" t="s">
        <v>135</v>
      </c>
      <c r="E60" s="7">
        <v>3</v>
      </c>
      <c r="F60" s="7">
        <f t="shared" si="1"/>
        <v>3.5999999999999996</v>
      </c>
      <c r="G60" s="7" t="s">
        <v>97</v>
      </c>
      <c r="H60" s="7" t="s">
        <v>98</v>
      </c>
    </row>
    <row r="61" spans="1:8" x14ac:dyDescent="0.35">
      <c r="A61" s="2">
        <v>59</v>
      </c>
      <c r="B61" s="9" t="s">
        <v>139</v>
      </c>
      <c r="C61" s="7" t="s">
        <v>70</v>
      </c>
      <c r="D61" s="8" t="s">
        <v>135</v>
      </c>
      <c r="E61" s="7">
        <v>2</v>
      </c>
      <c r="F61" s="7">
        <f t="shared" si="1"/>
        <v>2.4</v>
      </c>
      <c r="G61" s="7" t="s">
        <v>99</v>
      </c>
      <c r="H61" s="7" t="s">
        <v>100</v>
      </c>
    </row>
    <row r="62" spans="1:8" x14ac:dyDescent="0.35">
      <c r="A62" s="2">
        <v>60</v>
      </c>
      <c r="B62" s="9" t="s">
        <v>139</v>
      </c>
      <c r="C62" s="7" t="s">
        <v>71</v>
      </c>
      <c r="D62" s="8" t="s">
        <v>135</v>
      </c>
      <c r="E62" s="7">
        <v>1</v>
      </c>
      <c r="F62" s="7">
        <f t="shared" si="1"/>
        <v>1.2</v>
      </c>
      <c r="G62" s="7" t="s">
        <v>101</v>
      </c>
      <c r="H62" s="7" t="s">
        <v>102</v>
      </c>
    </row>
    <row r="63" spans="1:8" x14ac:dyDescent="0.35">
      <c r="A63" s="2">
        <v>61</v>
      </c>
      <c r="B63" s="9" t="s">
        <v>139</v>
      </c>
      <c r="C63" s="7" t="s">
        <v>72</v>
      </c>
      <c r="D63" s="8" t="s">
        <v>135</v>
      </c>
      <c r="E63" s="7">
        <v>1</v>
      </c>
      <c r="F63" s="7">
        <f t="shared" si="1"/>
        <v>1.2</v>
      </c>
      <c r="G63" s="7" t="s">
        <v>103</v>
      </c>
      <c r="H63" s="7" t="s">
        <v>104</v>
      </c>
    </row>
    <row r="64" spans="1:8" x14ac:dyDescent="0.35">
      <c r="A64" s="2">
        <v>62</v>
      </c>
      <c r="B64" s="9" t="s">
        <v>139</v>
      </c>
      <c r="C64" s="7" t="s">
        <v>73</v>
      </c>
      <c r="D64" s="8" t="s">
        <v>135</v>
      </c>
      <c r="E64" s="7">
        <v>2</v>
      </c>
      <c r="F64" s="7">
        <f t="shared" si="1"/>
        <v>2.4</v>
      </c>
      <c r="G64" s="7" t="s">
        <v>105</v>
      </c>
      <c r="H64" s="7" t="s">
        <v>106</v>
      </c>
    </row>
    <row r="65" spans="1:10" x14ac:dyDescent="0.35">
      <c r="A65" s="2">
        <v>63</v>
      </c>
      <c r="B65" s="9" t="s">
        <v>139</v>
      </c>
      <c r="C65" s="7" t="s">
        <v>74</v>
      </c>
      <c r="D65" s="8" t="s">
        <v>135</v>
      </c>
      <c r="E65" s="7">
        <v>2</v>
      </c>
      <c r="F65" s="7">
        <f t="shared" si="1"/>
        <v>2.4</v>
      </c>
      <c r="G65" s="7" t="s">
        <v>107</v>
      </c>
      <c r="H65" s="7" t="s">
        <v>108</v>
      </c>
    </row>
    <row r="66" spans="1:10" x14ac:dyDescent="0.35">
      <c r="A66" s="2">
        <v>64</v>
      </c>
      <c r="B66" s="9" t="s">
        <v>139</v>
      </c>
      <c r="C66" s="7" t="s">
        <v>75</v>
      </c>
      <c r="D66" s="8" t="s">
        <v>135</v>
      </c>
      <c r="E66" s="7">
        <v>3</v>
      </c>
      <c r="F66" s="7">
        <f t="shared" si="1"/>
        <v>3.5999999999999996</v>
      </c>
      <c r="G66" s="7" t="s">
        <v>109</v>
      </c>
      <c r="H66" s="7" t="s">
        <v>110</v>
      </c>
    </row>
    <row r="67" spans="1:10" x14ac:dyDescent="0.35">
      <c r="A67" s="2">
        <v>65</v>
      </c>
      <c r="B67" s="9" t="s">
        <v>139</v>
      </c>
      <c r="C67" s="7" t="s">
        <v>76</v>
      </c>
      <c r="D67" s="8" t="s">
        <v>135</v>
      </c>
      <c r="E67" s="7">
        <v>3</v>
      </c>
      <c r="F67" s="7">
        <f t="shared" si="1"/>
        <v>3.5999999999999996</v>
      </c>
      <c r="G67" s="7" t="s">
        <v>111</v>
      </c>
      <c r="H67" s="7" t="s">
        <v>112</v>
      </c>
    </row>
    <row r="68" spans="1:10" x14ac:dyDescent="0.35">
      <c r="A68" s="2">
        <v>66</v>
      </c>
      <c r="B68" s="9" t="s">
        <v>139</v>
      </c>
      <c r="C68" s="7" t="s">
        <v>77</v>
      </c>
      <c r="D68" s="8" t="s">
        <v>135</v>
      </c>
      <c r="E68" s="7">
        <v>5</v>
      </c>
      <c r="F68" s="7">
        <f t="shared" si="1"/>
        <v>6</v>
      </c>
      <c r="G68" s="7" t="s">
        <v>113</v>
      </c>
      <c r="H68" s="7" t="s">
        <v>114</v>
      </c>
    </row>
    <row r="69" spans="1:10" x14ac:dyDescent="0.35">
      <c r="A69" s="2">
        <v>67</v>
      </c>
      <c r="B69" s="9" t="s">
        <v>139</v>
      </c>
      <c r="C69" s="7" t="s">
        <v>78</v>
      </c>
      <c r="D69" s="8" t="s">
        <v>136</v>
      </c>
      <c r="E69" s="7">
        <v>2</v>
      </c>
      <c r="F69" s="7">
        <f t="shared" si="1"/>
        <v>2.4</v>
      </c>
      <c r="G69" s="7" t="s">
        <v>115</v>
      </c>
      <c r="H69" s="7" t="s">
        <v>116</v>
      </c>
    </row>
    <row r="70" spans="1:10" x14ac:dyDescent="0.35">
      <c r="A70" s="2">
        <v>68</v>
      </c>
      <c r="B70" s="9" t="s">
        <v>139</v>
      </c>
      <c r="C70" s="7" t="s">
        <v>79</v>
      </c>
      <c r="D70" s="8" t="s">
        <v>136</v>
      </c>
      <c r="E70" s="7">
        <v>4</v>
      </c>
      <c r="F70" s="7">
        <f t="shared" si="1"/>
        <v>4.8</v>
      </c>
      <c r="G70" s="7" t="s">
        <v>117</v>
      </c>
      <c r="H70" s="7" t="s">
        <v>118</v>
      </c>
    </row>
    <row r="71" spans="1:10" x14ac:dyDescent="0.35">
      <c r="A71" s="2">
        <v>69</v>
      </c>
      <c r="B71" s="9" t="s">
        <v>139</v>
      </c>
      <c r="C71" s="7" t="s">
        <v>80</v>
      </c>
      <c r="D71" s="8" t="s">
        <v>136</v>
      </c>
      <c r="E71" s="7">
        <v>4</v>
      </c>
      <c r="F71" s="7">
        <f t="shared" si="1"/>
        <v>4.8</v>
      </c>
      <c r="G71" s="7" t="s">
        <v>117</v>
      </c>
      <c r="H71" s="7" t="s">
        <v>118</v>
      </c>
    </row>
    <row r="72" spans="1:10" x14ac:dyDescent="0.35">
      <c r="A72" s="2">
        <v>70</v>
      </c>
      <c r="B72" s="9" t="s">
        <v>139</v>
      </c>
      <c r="C72" s="7" t="s">
        <v>81</v>
      </c>
      <c r="D72" s="8" t="s">
        <v>136</v>
      </c>
      <c r="E72" s="7">
        <v>4</v>
      </c>
      <c r="F72" s="7">
        <f t="shared" si="1"/>
        <v>4.8</v>
      </c>
      <c r="G72" s="7" t="s">
        <v>119</v>
      </c>
      <c r="H72" s="7" t="s">
        <v>120</v>
      </c>
    </row>
    <row r="73" spans="1:10" x14ac:dyDescent="0.35">
      <c r="A73" s="2">
        <v>71</v>
      </c>
      <c r="B73" s="9" t="s">
        <v>139</v>
      </c>
      <c r="C73" s="7" t="s">
        <v>82</v>
      </c>
      <c r="D73" s="8" t="s">
        <v>136</v>
      </c>
      <c r="E73" s="7">
        <v>5</v>
      </c>
      <c r="F73" s="7">
        <f t="shared" si="1"/>
        <v>6</v>
      </c>
      <c r="G73" s="7" t="s">
        <v>121</v>
      </c>
      <c r="H73" s="7" t="s">
        <v>122</v>
      </c>
      <c r="I73" s="10" t="s">
        <v>178</v>
      </c>
      <c r="J73" s="15">
        <v>1737.99899</v>
      </c>
    </row>
    <row r="74" spans="1:10" x14ac:dyDescent="0.35">
      <c r="A74" s="2">
        <v>72</v>
      </c>
      <c r="B74" s="9" t="s">
        <v>139</v>
      </c>
      <c r="C74" s="7" t="s">
        <v>83</v>
      </c>
      <c r="D74" s="8" t="s">
        <v>136</v>
      </c>
      <c r="E74" s="7">
        <v>10</v>
      </c>
      <c r="F74" s="7">
        <f t="shared" si="1"/>
        <v>12</v>
      </c>
      <c r="G74" s="7" t="s">
        <v>123</v>
      </c>
      <c r="H74" s="7" t="s">
        <v>124</v>
      </c>
      <c r="I74" s="10" t="s">
        <v>177</v>
      </c>
      <c r="J74">
        <v>86.8</v>
      </c>
    </row>
    <row r="75" spans="1:10" x14ac:dyDescent="0.35">
      <c r="A75" s="2">
        <v>73</v>
      </c>
      <c r="B75" s="9" t="s">
        <v>139</v>
      </c>
      <c r="C75" s="7" t="s">
        <v>84</v>
      </c>
      <c r="D75" s="4" t="s">
        <v>137</v>
      </c>
      <c r="E75" s="7">
        <v>4</v>
      </c>
      <c r="F75" s="7">
        <f t="shared" si="1"/>
        <v>4.8</v>
      </c>
      <c r="G75" s="7" t="s">
        <v>125</v>
      </c>
      <c r="H75" s="7" t="s">
        <v>126</v>
      </c>
      <c r="I75" s="10" t="s">
        <v>179</v>
      </c>
      <c r="J75" s="15">
        <v>1824.79899</v>
      </c>
    </row>
    <row r="76" spans="1:10" x14ac:dyDescent="0.35">
      <c r="A76" s="2">
        <v>74</v>
      </c>
      <c r="B76" s="9" t="s">
        <v>139</v>
      </c>
      <c r="C76" s="7" t="s">
        <v>85</v>
      </c>
      <c r="D76" s="4" t="s">
        <v>137</v>
      </c>
      <c r="E76" s="7">
        <v>2</v>
      </c>
      <c r="F76" s="7">
        <f t="shared" si="1"/>
        <v>2.4</v>
      </c>
      <c r="G76" s="7" t="s">
        <v>127</v>
      </c>
      <c r="H76" s="7" t="s">
        <v>128</v>
      </c>
      <c r="I76" t="s">
        <v>178</v>
      </c>
      <c r="J76">
        <v>1863</v>
      </c>
    </row>
    <row r="77" spans="1:10" x14ac:dyDescent="0.35">
      <c r="A77" s="2">
        <v>75</v>
      </c>
      <c r="B77" s="9" t="s">
        <v>139</v>
      </c>
      <c r="C77" s="7" t="s">
        <v>86</v>
      </c>
      <c r="D77" s="4" t="s">
        <v>137</v>
      </c>
      <c r="E77" s="7">
        <v>2</v>
      </c>
      <c r="F77" s="7">
        <f t="shared" si="1"/>
        <v>2.4</v>
      </c>
      <c r="G77" s="7" t="s">
        <v>129</v>
      </c>
      <c r="H77" s="7" t="s">
        <v>130</v>
      </c>
      <c r="I77" s="16" t="s">
        <v>180</v>
      </c>
      <c r="J77" s="15">
        <v>38.201009999999997</v>
      </c>
    </row>
    <row r="78" spans="1:10" x14ac:dyDescent="0.35">
      <c r="A78" s="2">
        <v>76</v>
      </c>
      <c r="B78" s="9" t="s">
        <v>139</v>
      </c>
      <c r="C78" s="7" t="s">
        <v>87</v>
      </c>
      <c r="D78" s="4" t="s">
        <v>137</v>
      </c>
      <c r="E78" s="7">
        <v>3</v>
      </c>
      <c r="F78" s="7">
        <f t="shared" si="1"/>
        <v>3.5999999999999996</v>
      </c>
      <c r="G78" s="7" t="s">
        <v>131</v>
      </c>
      <c r="H78" s="7" t="s">
        <v>132</v>
      </c>
    </row>
    <row r="79" spans="1:10" x14ac:dyDescent="0.35">
      <c r="A79" s="2">
        <v>77</v>
      </c>
      <c r="B79" s="9" t="s">
        <v>139</v>
      </c>
      <c r="C79" s="7" t="s">
        <v>88</v>
      </c>
      <c r="D79" s="4" t="s">
        <v>137</v>
      </c>
      <c r="E79" s="7">
        <v>2</v>
      </c>
      <c r="F79" s="7">
        <f t="shared" si="1"/>
        <v>2.4</v>
      </c>
      <c r="G79" s="7" t="s">
        <v>133</v>
      </c>
      <c r="H79" s="7" t="s">
        <v>134</v>
      </c>
    </row>
    <row r="80" spans="1:10" x14ac:dyDescent="0.35">
      <c r="A80" s="2">
        <v>78</v>
      </c>
      <c r="B80" s="9" t="s">
        <v>144</v>
      </c>
      <c r="C80" s="3" t="s">
        <v>140</v>
      </c>
      <c r="D80" s="2"/>
      <c r="E80" s="4">
        <v>40</v>
      </c>
      <c r="F80" s="2">
        <v>44</v>
      </c>
      <c r="G80" s="6">
        <v>18.186540000000001</v>
      </c>
      <c r="H80" s="6">
        <v>77.466460999999995</v>
      </c>
    </row>
    <row r="81" spans="1:8" x14ac:dyDescent="0.35">
      <c r="A81" s="2">
        <v>79</v>
      </c>
      <c r="B81" s="9" t="s">
        <v>144</v>
      </c>
      <c r="C81" s="3" t="s">
        <v>141</v>
      </c>
      <c r="D81" s="2"/>
      <c r="E81" s="4">
        <v>20</v>
      </c>
      <c r="F81" s="2">
        <v>22</v>
      </c>
      <c r="G81" s="6">
        <v>16.877120999999999</v>
      </c>
      <c r="H81" s="6">
        <v>76.989174000000006</v>
      </c>
    </row>
    <row r="82" spans="1:8" x14ac:dyDescent="0.35">
      <c r="A82" s="2">
        <v>80</v>
      </c>
      <c r="B82" s="9" t="s">
        <v>144</v>
      </c>
      <c r="C82" s="3" t="s">
        <v>142</v>
      </c>
      <c r="D82" s="2"/>
      <c r="E82" s="4">
        <v>20</v>
      </c>
      <c r="F82" s="2">
        <v>22</v>
      </c>
      <c r="G82" s="2">
        <v>12.059544000000001</v>
      </c>
      <c r="H82" s="2">
        <v>76.961236</v>
      </c>
    </row>
    <row r="83" spans="1:8" x14ac:dyDescent="0.35">
      <c r="A83" s="2">
        <v>81</v>
      </c>
      <c r="B83" s="9" t="s">
        <v>144</v>
      </c>
      <c r="C83" s="3" t="s">
        <v>143</v>
      </c>
      <c r="D83" s="2"/>
      <c r="E83" s="4">
        <v>20</v>
      </c>
      <c r="F83" s="2">
        <v>22</v>
      </c>
      <c r="G83" s="2">
        <v>11.939678000000001</v>
      </c>
      <c r="H83" s="2">
        <v>76.735493000000005</v>
      </c>
    </row>
    <row r="84" spans="1:8" x14ac:dyDescent="0.35">
      <c r="A84" s="9">
        <v>82</v>
      </c>
      <c r="B84" s="9" t="s">
        <v>145</v>
      </c>
      <c r="C84" s="3" t="s">
        <v>146</v>
      </c>
      <c r="D84" s="2"/>
      <c r="E84" s="7">
        <v>300</v>
      </c>
      <c r="F84" s="9">
        <v>429.04500000000002</v>
      </c>
      <c r="G84" s="4">
        <v>24.098749999999999</v>
      </c>
      <c r="H84" s="4">
        <v>69.555888899999999</v>
      </c>
    </row>
    <row r="85" spans="1:8" x14ac:dyDescent="0.35">
      <c r="A85" s="2">
        <v>83</v>
      </c>
      <c r="B85" s="9" t="s">
        <v>147</v>
      </c>
      <c r="C85" s="3" t="s">
        <v>148</v>
      </c>
      <c r="D85" s="2"/>
      <c r="E85" s="7">
        <v>3.6</v>
      </c>
      <c r="F85" s="9">
        <v>4.5</v>
      </c>
      <c r="G85" s="2"/>
      <c r="H85" s="2"/>
    </row>
    <row r="86" spans="1:8" x14ac:dyDescent="0.35">
      <c r="A86" s="9">
        <v>84</v>
      </c>
      <c r="B86" s="9" t="s">
        <v>149</v>
      </c>
      <c r="C86" s="2"/>
      <c r="D86" s="2"/>
      <c r="E86" s="2"/>
      <c r="F86" s="2">
        <v>37.6</v>
      </c>
      <c r="G86" s="2"/>
      <c r="H86" s="2"/>
    </row>
    <row r="87" spans="1:8" x14ac:dyDescent="0.35">
      <c r="A87" s="2">
        <v>85</v>
      </c>
      <c r="B87" s="9" t="s">
        <v>174</v>
      </c>
      <c r="C87" s="3" t="s">
        <v>175</v>
      </c>
      <c r="D87" s="2"/>
      <c r="E87" s="7">
        <v>22.23</v>
      </c>
      <c r="F87" s="9">
        <v>31.286999999999999</v>
      </c>
      <c r="G87" s="2"/>
      <c r="H87" s="2"/>
    </row>
    <row r="88" spans="1:8" x14ac:dyDescent="0.35">
      <c r="A88" s="9">
        <v>86</v>
      </c>
      <c r="B88" s="9" t="s">
        <v>174</v>
      </c>
      <c r="C88" s="3" t="s">
        <v>176</v>
      </c>
      <c r="D88" s="2"/>
      <c r="E88" s="7">
        <v>4.2</v>
      </c>
      <c r="F88" s="9">
        <v>5.2169999999999996</v>
      </c>
      <c r="G88" s="2"/>
      <c r="H88" s="2"/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E2" sqref="E2:E10"/>
    </sheetView>
  </sheetViews>
  <sheetFormatPr defaultRowHeight="14.5" x14ac:dyDescent="0.35"/>
  <cols>
    <col min="1" max="1" width="28.90625" bestFit="1" customWidth="1"/>
    <col min="2" max="2" width="11.26953125" bestFit="1" customWidth="1"/>
    <col min="3" max="3" width="11.7265625" customWidth="1"/>
    <col min="4" max="4" width="9.453125" bestFit="1" customWidth="1"/>
    <col min="5" max="5" width="11.26953125" customWidth="1"/>
    <col min="6" max="6" width="19.90625" customWidth="1"/>
    <col min="7" max="7" width="28.81640625" customWidth="1"/>
  </cols>
  <sheetData>
    <row r="1" spans="1:7" ht="29" x14ac:dyDescent="0.35">
      <c r="A1" s="12" t="s">
        <v>63</v>
      </c>
      <c r="B1" s="12" t="s">
        <v>150</v>
      </c>
      <c r="C1" s="12" t="s">
        <v>151</v>
      </c>
      <c r="D1" s="12" t="s">
        <v>171</v>
      </c>
      <c r="E1" s="12" t="s">
        <v>172</v>
      </c>
      <c r="F1" s="12" t="s">
        <v>152</v>
      </c>
      <c r="G1" s="12" t="s">
        <v>153</v>
      </c>
    </row>
    <row r="2" spans="1:7" x14ac:dyDescent="0.35">
      <c r="A2" s="11" t="s">
        <v>154</v>
      </c>
      <c r="B2" s="14" t="s">
        <v>173</v>
      </c>
      <c r="C2" s="11" t="s">
        <v>155</v>
      </c>
      <c r="D2" s="11">
        <v>20</v>
      </c>
      <c r="E2" s="11">
        <v>30</v>
      </c>
      <c r="F2" s="13">
        <v>44196</v>
      </c>
      <c r="G2" s="11" t="s">
        <v>156</v>
      </c>
    </row>
    <row r="3" spans="1:7" x14ac:dyDescent="0.35">
      <c r="A3" s="11" t="s">
        <v>157</v>
      </c>
      <c r="B3" s="14"/>
      <c r="C3" s="11" t="s">
        <v>155</v>
      </c>
      <c r="D3" s="11">
        <v>10</v>
      </c>
      <c r="E3" s="11">
        <v>13.5</v>
      </c>
      <c r="F3" s="13">
        <v>44651</v>
      </c>
      <c r="G3" s="11" t="s">
        <v>156</v>
      </c>
    </row>
    <row r="4" spans="1:7" x14ac:dyDescent="0.35">
      <c r="A4" s="11" t="s">
        <v>158</v>
      </c>
      <c r="B4" s="14"/>
      <c r="C4" s="11" t="s">
        <v>155</v>
      </c>
      <c r="D4" s="11">
        <v>10</v>
      </c>
      <c r="E4" s="11">
        <v>15.5</v>
      </c>
      <c r="F4" s="13">
        <v>44651</v>
      </c>
      <c r="G4" s="11" t="s">
        <v>156</v>
      </c>
    </row>
    <row r="5" spans="1:7" x14ac:dyDescent="0.35">
      <c r="A5" s="11" t="s">
        <v>159</v>
      </c>
      <c r="B5" s="14"/>
      <c r="C5" s="11" t="s">
        <v>155</v>
      </c>
      <c r="D5" s="11">
        <v>10</v>
      </c>
      <c r="E5" s="11">
        <v>16</v>
      </c>
      <c r="F5" s="13">
        <v>44651</v>
      </c>
      <c r="G5" s="11" t="s">
        <v>156</v>
      </c>
    </row>
    <row r="6" spans="1:7" x14ac:dyDescent="0.35">
      <c r="A6" s="11" t="s">
        <v>160</v>
      </c>
      <c r="B6" s="14"/>
      <c r="C6" s="11" t="s">
        <v>155</v>
      </c>
      <c r="D6" s="11">
        <v>3.13</v>
      </c>
      <c r="E6" s="11">
        <v>5</v>
      </c>
      <c r="F6" s="13">
        <v>44881</v>
      </c>
      <c r="G6" s="11" t="s">
        <v>156</v>
      </c>
    </row>
    <row r="7" spans="1:7" ht="29" x14ac:dyDescent="0.35">
      <c r="A7" s="11" t="s">
        <v>161</v>
      </c>
      <c r="B7" s="11" t="s">
        <v>162</v>
      </c>
      <c r="C7" s="11" t="s">
        <v>163</v>
      </c>
      <c r="D7" s="11">
        <v>4</v>
      </c>
      <c r="E7" s="11">
        <v>4</v>
      </c>
      <c r="F7" s="13">
        <v>41523</v>
      </c>
      <c r="G7" s="11" t="s">
        <v>164</v>
      </c>
    </row>
    <row r="8" spans="1:7" ht="29" x14ac:dyDescent="0.35">
      <c r="A8" s="11" t="s">
        <v>165</v>
      </c>
      <c r="B8" s="11" t="s">
        <v>166</v>
      </c>
      <c r="C8" s="11" t="s">
        <v>163</v>
      </c>
      <c r="D8" s="11">
        <v>0.6</v>
      </c>
      <c r="E8" s="11">
        <v>0.6</v>
      </c>
      <c r="F8" s="13">
        <v>41542</v>
      </c>
      <c r="G8" s="11" t="s">
        <v>164</v>
      </c>
    </row>
    <row r="9" spans="1:7" ht="29" x14ac:dyDescent="0.35">
      <c r="A9" s="11" t="s">
        <v>167</v>
      </c>
      <c r="B9" s="11" t="s">
        <v>168</v>
      </c>
      <c r="C9" s="11" t="s">
        <v>163</v>
      </c>
      <c r="D9" s="11">
        <v>1</v>
      </c>
      <c r="E9" s="11">
        <v>1</v>
      </c>
      <c r="F9" s="13">
        <v>41542</v>
      </c>
      <c r="G9" s="11" t="s">
        <v>164</v>
      </c>
    </row>
    <row r="10" spans="1:7" ht="29" x14ac:dyDescent="0.35">
      <c r="A10" s="11" t="s">
        <v>169</v>
      </c>
      <c r="B10" s="11" t="s">
        <v>170</v>
      </c>
      <c r="C10" s="11" t="s">
        <v>163</v>
      </c>
      <c r="D10" s="11">
        <v>1.2</v>
      </c>
      <c r="E10" s="11">
        <v>1.2</v>
      </c>
      <c r="F10" s="13">
        <v>41720</v>
      </c>
      <c r="G10" s="11" t="s">
        <v>164</v>
      </c>
    </row>
  </sheetData>
  <mergeCells count="1">
    <mergeCell ref="B2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</vt:lpstr>
      <vt:lpstr>Common Infra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2026-08-04T10:33:58Z</dcterms:modified>
  <cp:category/>
  <cp:contentStatus/>
</cp:coreProperties>
</file>